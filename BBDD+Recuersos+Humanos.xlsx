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fded9a9f3f7298/METAS/EXCEL CURSO/CURSO POWER QUERY/"/>
    </mc:Choice>
  </mc:AlternateContent>
  <xr:revisionPtr revIDLastSave="34" documentId="8_{BBF80F08-0DC2-4FB7-9048-ABBF8429F8E6}" xr6:coauthVersionLast="47" xr6:coauthVersionMax="47" xr10:uidLastSave="{74731E23-2A0F-4990-8E1E-27246FCD050A}"/>
  <bookViews>
    <workbookView minimized="1" xWindow="10848" yWindow="1464" windowWidth="11748" windowHeight="9792" xr2:uid="{4EF649EC-9AF9-4CF1-A856-64B29C89E7A8}"/>
  </bookViews>
  <sheets>
    <sheet name="BBDD RECURSOS HUMA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" l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<sst xmlns="http://schemas.openxmlformats.org/spreadsheetml/2006/main" count="361" uniqueCount="142">
  <si>
    <t>Nombre</t>
  </si>
  <si>
    <t>Sexo</t>
  </si>
  <si>
    <t>Fecha Contratación</t>
  </si>
  <si>
    <t>Ciudad</t>
  </si>
  <si>
    <t>Categoria</t>
  </si>
  <si>
    <t>Nivel
Salarial</t>
  </si>
  <si>
    <t>Grupo
profesional</t>
  </si>
  <si>
    <t>Salario Base</t>
  </si>
  <si>
    <t>Complemento 1</t>
  </si>
  <si>
    <t>Comisiones</t>
  </si>
  <si>
    <t>Plus de transporte</t>
  </si>
  <si>
    <t>Total percibido</t>
  </si>
  <si>
    <t>ISABEL</t>
  </si>
  <si>
    <t>M</t>
  </si>
  <si>
    <t>Valencia</t>
  </si>
  <si>
    <t>Administrativo/ Oficial de 2ª</t>
  </si>
  <si>
    <t>IV</t>
  </si>
  <si>
    <t>DOLORES</t>
  </si>
  <si>
    <t>Madrid</t>
  </si>
  <si>
    <t>SEBASTIAN</t>
  </si>
  <si>
    <t>ALFONSO</t>
  </si>
  <si>
    <t>H</t>
  </si>
  <si>
    <t>Barcelona</t>
  </si>
  <si>
    <t>PILAR</t>
  </si>
  <si>
    <t>Auxiliar Administrativo</t>
  </si>
  <si>
    <t>V</t>
  </si>
  <si>
    <t>CARLOS RAFAEL</t>
  </si>
  <si>
    <t>TOMAS</t>
  </si>
  <si>
    <t>MIGUEL ANGEL</t>
  </si>
  <si>
    <t>PABLO</t>
  </si>
  <si>
    <t>JESUS</t>
  </si>
  <si>
    <t>GEMA</t>
  </si>
  <si>
    <t>JORGE</t>
  </si>
  <si>
    <t>ELIAS</t>
  </si>
  <si>
    <t>ESTHER</t>
  </si>
  <si>
    <t>ANA MARIA</t>
  </si>
  <si>
    <t>ARACELI</t>
  </si>
  <si>
    <t>FERNANDO DAVID</t>
  </si>
  <si>
    <t>VICTORIA EUGENIA</t>
  </si>
  <si>
    <t>Contable</t>
  </si>
  <si>
    <t>III</t>
  </si>
  <si>
    <t>MARIA CARMEN</t>
  </si>
  <si>
    <t>MARIA TERESA</t>
  </si>
  <si>
    <t>Grabador</t>
  </si>
  <si>
    <t>DAVID</t>
  </si>
  <si>
    <t>ANGELES</t>
  </si>
  <si>
    <t>Jefe de Oficina</t>
  </si>
  <si>
    <t>MARGARITA</t>
  </si>
  <si>
    <t>JUAN CARLOS</t>
  </si>
  <si>
    <t>LUIS MIGUEL</t>
  </si>
  <si>
    <t>ALEJANDRA</t>
  </si>
  <si>
    <t>VICENTE MANUEL</t>
  </si>
  <si>
    <t>MARIA DOLORES</t>
  </si>
  <si>
    <t>ANA</t>
  </si>
  <si>
    <t>Jefe Superior</t>
  </si>
  <si>
    <t>MARIA AMPARO</t>
  </si>
  <si>
    <t>JOSE ANDRES</t>
  </si>
  <si>
    <t>VICENT JOAN</t>
  </si>
  <si>
    <t>Oficial de Primera Administrativo</t>
  </si>
  <si>
    <t>BEGOÑA</t>
  </si>
  <si>
    <t>JOAQUIN</t>
  </si>
  <si>
    <t>ALBERTO</t>
  </si>
  <si>
    <t>DEAMPARADOS</t>
  </si>
  <si>
    <t>Ordenanza/ Tramitador</t>
  </si>
  <si>
    <t>VI</t>
  </si>
  <si>
    <t>MARIA JOSE</t>
  </si>
  <si>
    <t>RUFINA</t>
  </si>
  <si>
    <t>JOSE VICENTE</t>
  </si>
  <si>
    <t>MARIA</t>
  </si>
  <si>
    <t>Telefonista</t>
  </si>
  <si>
    <t>JULIA</t>
  </si>
  <si>
    <t>JOSE ENRIQUE</t>
  </si>
  <si>
    <t>M.CARMEN</t>
  </si>
  <si>
    <t>OSCAR</t>
  </si>
  <si>
    <t>Titulado Medio o Diplomado</t>
  </si>
  <si>
    <t>II</t>
  </si>
  <si>
    <t>VICTORIA</t>
  </si>
  <si>
    <t>ESPERANZA</t>
  </si>
  <si>
    <t>JULIO</t>
  </si>
  <si>
    <t>NIEVES</t>
  </si>
  <si>
    <t>FRANCESC MARC</t>
  </si>
  <si>
    <t>Titulado Superior y Director</t>
  </si>
  <si>
    <t>I</t>
  </si>
  <si>
    <t>FRANCISCO</t>
  </si>
  <si>
    <t>monedero alvarez</t>
  </si>
  <si>
    <t>barrera gual</t>
  </si>
  <si>
    <t>martin sebastian</t>
  </si>
  <si>
    <t>garcia barrachina</t>
  </si>
  <si>
    <t>denia allepuz</t>
  </si>
  <si>
    <t>barbera naspleda</t>
  </si>
  <si>
    <t>vaquer montañes</t>
  </si>
  <si>
    <t>alarcon aparici</t>
  </si>
  <si>
    <t>sebastian edo</t>
  </si>
  <si>
    <t>rios abella</t>
  </si>
  <si>
    <t>martinez martin</t>
  </si>
  <si>
    <t>sixto lopez</t>
  </si>
  <si>
    <t>zahonero gisbert</t>
  </si>
  <si>
    <t>cucala devis</t>
  </si>
  <si>
    <t>soler soler</t>
  </si>
  <si>
    <t>castel sanchez</t>
  </si>
  <si>
    <t>marti tarin</t>
  </si>
  <si>
    <t>carda gallego</t>
  </si>
  <si>
    <t>pozo leon</t>
  </si>
  <si>
    <t>agost miravet</t>
  </si>
  <si>
    <t>dauden pitarch</t>
  </si>
  <si>
    <t>garcia garcia</t>
  </si>
  <si>
    <t>martinez vicent</t>
  </si>
  <si>
    <t>aparicio martin</t>
  </si>
  <si>
    <t>carceller piquer</t>
  </si>
  <si>
    <t>granell romero</t>
  </si>
  <si>
    <t>vicente salvador</t>
  </si>
  <si>
    <t>valles alende</t>
  </si>
  <si>
    <t>rosa diaz</t>
  </si>
  <si>
    <t>delgado pino</t>
  </si>
  <si>
    <t>peris bellver</t>
  </si>
  <si>
    <t>adelantado ferrando</t>
  </si>
  <si>
    <t>gomez ferrandiz</t>
  </si>
  <si>
    <t>mayor morant</t>
  </si>
  <si>
    <t>pastor jover</t>
  </si>
  <si>
    <t>dosda peris</t>
  </si>
  <si>
    <t>rubert porcar</t>
  </si>
  <si>
    <t>garcia lorenzo</t>
  </si>
  <si>
    <t>nebot nebot</t>
  </si>
  <si>
    <t>villena morera</t>
  </si>
  <si>
    <t>sagura valiente</t>
  </si>
  <si>
    <t>pablo vicente</t>
  </si>
  <si>
    <t>casares vivo</t>
  </si>
  <si>
    <t>bautista plaza</t>
  </si>
  <si>
    <t>girones borras</t>
  </si>
  <si>
    <t>cabrera areal</t>
  </si>
  <si>
    <t>archelos alvaro</t>
  </si>
  <si>
    <t>martinez pastor</t>
  </si>
  <si>
    <t>lopez vilaplana</t>
  </si>
  <si>
    <t>martinez moreno</t>
  </si>
  <si>
    <t>gil de quesada</t>
  </si>
  <si>
    <t>bayo torres</t>
  </si>
  <si>
    <t>murciano marco</t>
  </si>
  <si>
    <t>ferrandis de la asuncion</t>
  </si>
  <si>
    <t>torremocha barrofet</t>
  </si>
  <si>
    <t>esteve rodriguez</t>
  </si>
  <si>
    <t>belenguer rodriguez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</si>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</sst>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€&quot;_ ;_ * \(#,##0.00\)\ &quot;€&quot;_ ;_ * &quot;-&quot;??_)\ &quot;€&quot;_ ;_ @_ "/>
    <numFmt numFmtId="164" formatCode="_-* #,##0.00\ &quot;pta&quot;_-;\-* #,##0.00\ &quot;pta&quot;_-;_-* &quot;-&quot;??\ &quot;pta&quot;_-;_-@_-"/>
    <numFmt numFmtId="165" formatCode="_-* #,##0.00\ [$€-40A]_-;\-* #,##0.00\ [$€-40A]_-;_-* &quot;-&quot;??\ [$€-40A]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2"/>
    <xf numFmtId="0" fontId="2" fillId="0" borderId="1" xfId="2" applyBorder="1" applyAlignment="1">
      <alignment horizont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center"/>
    </xf>
    <xf numFmtId="3" fontId="2" fillId="0" borderId="0" xfId="2" applyNumberFormat="1"/>
    <xf numFmtId="0" fontId="2" fillId="2" borderId="1" xfId="2" applyFill="1" applyBorder="1" applyAlignment="1">
      <alignment horizontal="center" vertical="center"/>
    </xf>
    <xf numFmtId="0" fontId="2" fillId="2" borderId="1" xfId="2" applyFill="1" applyBorder="1" applyAlignment="1">
      <alignment horizontal="center" vertical="center" wrapText="1"/>
    </xf>
    <xf numFmtId="0" fontId="2" fillId="2" borderId="1" xfId="2" applyFill="1" applyBorder="1" applyAlignment="1">
      <alignment vertical="center"/>
    </xf>
    <xf numFmtId="0" fontId="2" fillId="0" borderId="0" xfId="2" applyAlignment="1">
      <alignment vertical="center"/>
    </xf>
    <xf numFmtId="0" fontId="2" fillId="0" borderId="1" xfId="2" applyBorder="1" applyAlignment="1">
      <alignment horizontal="center" vertical="top"/>
    </xf>
    <xf numFmtId="0" fontId="2" fillId="0" borderId="1" xfId="2" applyBorder="1" applyAlignment="1">
      <alignment horizontal="justify" vertical="top"/>
    </xf>
    <xf numFmtId="0" fontId="3" fillId="0" borderId="1" xfId="2" applyFont="1" applyBorder="1" applyAlignment="1">
      <alignment vertical="top"/>
    </xf>
    <xf numFmtId="0" fontId="3" fillId="0" borderId="1" xfId="2" applyFont="1" applyBorder="1" applyAlignment="1">
      <alignment horizontal="center" vertical="center"/>
    </xf>
    <xf numFmtId="14" fontId="3" fillId="0" borderId="1" xfId="2" applyNumberFormat="1" applyFont="1" applyBorder="1" applyAlignment="1">
      <alignment horizontal="center" vertical="top"/>
    </xf>
    <xf numFmtId="1" fontId="3" fillId="0" borderId="1" xfId="2" applyNumberFormat="1" applyFont="1" applyBorder="1" applyAlignment="1">
      <alignment horizontal="center" vertical="top"/>
    </xf>
    <xf numFmtId="165" fontId="2" fillId="0" borderId="1" xfId="3" applyNumberFormat="1" applyFont="1" applyFill="1" applyBorder="1" applyAlignment="1">
      <alignment horizontal="right" vertical="top"/>
    </xf>
    <xf numFmtId="165" fontId="2" fillId="0" borderId="1" xfId="3" applyNumberFormat="1" applyFont="1" applyBorder="1" applyAlignment="1"/>
    <xf numFmtId="44" fontId="2" fillId="0" borderId="1" xfId="1" applyFont="1" applyBorder="1" applyAlignment="1"/>
    <xf numFmtId="165" fontId="2" fillId="0" borderId="1" xfId="2" applyNumberFormat="1" applyBorder="1" applyAlignment="1"/>
  </cellXfs>
  <cellStyles count="4">
    <cellStyle name="Moneda" xfId="1" builtinId="4"/>
    <cellStyle name="Moneda 2" xfId="3" xr:uid="{52F85DDB-D6BC-4E2E-9B99-0D8C142EC81F}"/>
    <cellStyle name="Normal" xfId="0" builtinId="0"/>
    <cellStyle name="Normal 2" xfId="2" xr:uid="{12E80600-7468-4F8E-99D3-8AAED912FF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9E8D-818D-43B3-A1B9-61A9938A2A38}">
  <dimension ref="A1:M60"/>
  <sheetViews>
    <sheetView tabSelected="1" workbookViewId="0">
      <selection sqref="A1:M3"/>
    </sheetView>
  </sheetViews>
  <sheetFormatPr baseColWidth="10" defaultColWidth="11.44140625" defaultRowHeight="13.2" x14ac:dyDescent="0.25"/>
  <cols>
    <col min="1" max="2" width="15.6640625" style="1" bestFit="1" customWidth="1"/>
    <col min="3" max="3" width="5" style="3" bestFit="1" customWidth="1"/>
    <col min="4" max="4" width="17.109375" style="1" bestFit="1" customWidth="1"/>
    <col min="5" max="5" width="8.109375" style="1" bestFit="1" customWidth="1"/>
    <col min="6" max="6" width="27.77734375" style="1" bestFit="1" customWidth="1"/>
    <col min="7" max="7" width="8.21875" style="4" customWidth="1"/>
    <col min="8" max="8" width="10.77734375" style="4" customWidth="1"/>
    <col min="9" max="9" width="11.33203125" style="1" bestFit="1" customWidth="1"/>
    <col min="10" max="10" width="13.5546875" style="1" bestFit="1" customWidth="1"/>
    <col min="11" max="11" width="10.44140625" style="1" bestFit="1" customWidth="1"/>
    <col min="12" max="12" width="15.6640625" style="1" bestFit="1" customWidth="1"/>
    <col min="13" max="13" width="12.88671875" style="1" bestFit="1" customWidth="1"/>
    <col min="14" max="14" width="11.44140625" style="1"/>
    <col min="15" max="15" width="11.77734375" style="1" bestFit="1" customWidth="1"/>
    <col min="16" max="16384" width="11.44140625" style="1"/>
  </cols>
  <sheetData>
    <row r="1" spans="1:13" s="9" customFormat="1" ht="26.4" x14ac:dyDescent="0.3">
      <c r="A1" s="6" t="s">
        <v>141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7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8" t="s">
        <v>11</v>
      </c>
    </row>
    <row r="2" spans="1:13" x14ac:dyDescent="0.25">
      <c r="A2" s="12" t="s">
        <v>84</v>
      </c>
      <c r="B2" s="12" t="s">
        <v>12</v>
      </c>
      <c r="C2" s="13" t="s">
        <v>13</v>
      </c>
      <c r="D2" s="14">
        <v>41313</v>
      </c>
      <c r="E2" s="15" t="s">
        <v>14</v>
      </c>
      <c r="F2" s="11" t="s">
        <v>15</v>
      </c>
      <c r="G2" s="10">
        <v>7</v>
      </c>
      <c r="H2" s="10" t="s">
        <v>16</v>
      </c>
      <c r="I2" s="16">
        <v>681.19</v>
      </c>
      <c r="J2" s="17">
        <v>242.51</v>
      </c>
      <c r="K2" s="17">
        <v>0</v>
      </c>
      <c r="L2" s="18">
        <v>450.8</v>
      </c>
      <c r="M2" s="19">
        <f t="shared" ref="M2:M59" si="0">+SUM(I2:L2)</f>
        <v>1374.5</v>
      </c>
    </row>
    <row r="3" spans="1:13" x14ac:dyDescent="0.25">
      <c r="A3" s="12" t="s">
        <v>85</v>
      </c>
      <c r="B3" s="12" t="s">
        <v>17</v>
      </c>
      <c r="C3" s="13" t="s">
        <v>13</v>
      </c>
      <c r="D3" s="14">
        <v>38745</v>
      </c>
      <c r="E3" s="15" t="s">
        <v>18</v>
      </c>
      <c r="F3" s="11" t="s">
        <v>15</v>
      </c>
      <c r="G3" s="10">
        <v>7</v>
      </c>
      <c r="H3" s="10" t="s">
        <v>16</v>
      </c>
      <c r="I3" s="16">
        <v>681.19</v>
      </c>
      <c r="J3" s="17">
        <v>140.84</v>
      </c>
      <c r="K3" s="17">
        <v>0</v>
      </c>
      <c r="L3" s="18">
        <v>0</v>
      </c>
      <c r="M3" s="19">
        <f t="shared" si="0"/>
        <v>822.03000000000009</v>
      </c>
    </row>
    <row r="4" spans="1:13" x14ac:dyDescent="0.25">
      <c r="A4" s="12" t="s">
        <v>86</v>
      </c>
      <c r="B4" s="12" t="s">
        <v>20</v>
      </c>
      <c r="C4" s="13" t="s">
        <v>21</v>
      </c>
      <c r="D4" s="14">
        <v>37592</v>
      </c>
      <c r="E4" s="15" t="s">
        <v>22</v>
      </c>
      <c r="F4" s="11" t="s">
        <v>15</v>
      </c>
      <c r="G4" s="10">
        <v>7</v>
      </c>
      <c r="H4" s="10" t="s">
        <v>16</v>
      </c>
      <c r="I4" s="16">
        <v>681.19</v>
      </c>
      <c r="J4" s="17">
        <v>304.39999999999998</v>
      </c>
      <c r="K4" s="17">
        <v>0</v>
      </c>
      <c r="L4" s="18">
        <v>450.8</v>
      </c>
      <c r="M4" s="19">
        <f t="shared" si="0"/>
        <v>1436.39</v>
      </c>
    </row>
    <row r="5" spans="1:13" x14ac:dyDescent="0.25">
      <c r="A5" s="12" t="s">
        <v>87</v>
      </c>
      <c r="B5" s="12" t="s">
        <v>23</v>
      </c>
      <c r="C5" s="13" t="s">
        <v>13</v>
      </c>
      <c r="D5" s="14">
        <v>38425</v>
      </c>
      <c r="E5" s="15" t="s">
        <v>14</v>
      </c>
      <c r="F5" s="11" t="s">
        <v>24</v>
      </c>
      <c r="G5" s="10">
        <v>4</v>
      </c>
      <c r="H5" s="10" t="s">
        <v>25</v>
      </c>
      <c r="I5" s="16">
        <v>598.13</v>
      </c>
      <c r="J5" s="17">
        <v>92.25</v>
      </c>
      <c r="K5" s="17">
        <v>0</v>
      </c>
      <c r="L5" s="18">
        <v>450.8</v>
      </c>
      <c r="M5" s="19">
        <f t="shared" si="0"/>
        <v>1141.18</v>
      </c>
    </row>
    <row r="6" spans="1:13" x14ac:dyDescent="0.25">
      <c r="A6" s="12" t="s">
        <v>88</v>
      </c>
      <c r="B6" s="12" t="s">
        <v>26</v>
      </c>
      <c r="C6" s="13" t="s">
        <v>21</v>
      </c>
      <c r="D6" s="14">
        <v>38127</v>
      </c>
      <c r="E6" s="15" t="s">
        <v>14</v>
      </c>
      <c r="F6" s="11" t="s">
        <v>24</v>
      </c>
      <c r="G6" s="10">
        <v>4</v>
      </c>
      <c r="H6" s="10" t="s">
        <v>25</v>
      </c>
      <c r="I6" s="16">
        <v>598.13</v>
      </c>
      <c r="J6" s="17">
        <v>92.25</v>
      </c>
      <c r="K6" s="17">
        <v>0</v>
      </c>
      <c r="L6" s="18">
        <v>450.8</v>
      </c>
      <c r="M6" s="19">
        <f t="shared" si="0"/>
        <v>1141.18</v>
      </c>
    </row>
    <row r="7" spans="1:13" x14ac:dyDescent="0.25">
      <c r="A7" s="12" t="s">
        <v>89</v>
      </c>
      <c r="B7" s="12" t="s">
        <v>27</v>
      </c>
      <c r="C7" s="13" t="s">
        <v>21</v>
      </c>
      <c r="D7" s="14">
        <v>39147</v>
      </c>
      <c r="E7" s="15" t="s">
        <v>14</v>
      </c>
      <c r="F7" s="11" t="s">
        <v>24</v>
      </c>
      <c r="G7" s="10">
        <v>4</v>
      </c>
      <c r="H7" s="10" t="s">
        <v>25</v>
      </c>
      <c r="I7" s="16">
        <v>598.13</v>
      </c>
      <c r="J7" s="17">
        <v>304.39999999999998</v>
      </c>
      <c r="K7" s="17">
        <v>0</v>
      </c>
      <c r="L7" s="18">
        <v>225.4</v>
      </c>
      <c r="M7" s="19">
        <f t="shared" si="0"/>
        <v>1127.93</v>
      </c>
    </row>
    <row r="8" spans="1:13" x14ac:dyDescent="0.25">
      <c r="A8" s="12" t="s">
        <v>90</v>
      </c>
      <c r="B8" s="12" t="s">
        <v>28</v>
      </c>
      <c r="C8" s="13" t="s">
        <v>21</v>
      </c>
      <c r="D8" s="14">
        <v>40113</v>
      </c>
      <c r="E8" s="15" t="s">
        <v>14</v>
      </c>
      <c r="F8" s="11" t="s">
        <v>24</v>
      </c>
      <c r="G8" s="10">
        <v>4</v>
      </c>
      <c r="H8" s="10" t="s">
        <v>25</v>
      </c>
      <c r="I8" s="16">
        <v>598.13</v>
      </c>
      <c r="J8" s="17">
        <v>242.51</v>
      </c>
      <c r="K8" s="17">
        <v>0</v>
      </c>
      <c r="L8" s="18">
        <v>450.8</v>
      </c>
      <c r="M8" s="19">
        <f t="shared" si="0"/>
        <v>1291.44</v>
      </c>
    </row>
    <row r="9" spans="1:13" x14ac:dyDescent="0.25">
      <c r="A9" s="12" t="s">
        <v>91</v>
      </c>
      <c r="B9" s="12" t="s">
        <v>29</v>
      </c>
      <c r="C9" s="13" t="s">
        <v>21</v>
      </c>
      <c r="D9" s="14">
        <v>40955</v>
      </c>
      <c r="E9" s="15" t="s">
        <v>18</v>
      </c>
      <c r="F9" s="11" t="s">
        <v>24</v>
      </c>
      <c r="G9" s="10">
        <v>4</v>
      </c>
      <c r="H9" s="10" t="s">
        <v>25</v>
      </c>
      <c r="I9" s="16">
        <v>598.13</v>
      </c>
      <c r="J9" s="17">
        <v>140.84</v>
      </c>
      <c r="K9" s="17">
        <v>0</v>
      </c>
      <c r="L9" s="18">
        <v>450.8</v>
      </c>
      <c r="M9" s="19">
        <f t="shared" si="0"/>
        <v>1189.77</v>
      </c>
    </row>
    <row r="10" spans="1:13" x14ac:dyDescent="0.25">
      <c r="A10" s="12" t="s">
        <v>92</v>
      </c>
      <c r="B10" s="12" t="s">
        <v>30</v>
      </c>
      <c r="C10" s="13" t="s">
        <v>21</v>
      </c>
      <c r="D10" s="14">
        <v>38251</v>
      </c>
      <c r="E10" s="15" t="s">
        <v>18</v>
      </c>
      <c r="F10" s="11" t="s">
        <v>24</v>
      </c>
      <c r="G10" s="10">
        <v>4</v>
      </c>
      <c r="H10" s="10" t="s">
        <v>25</v>
      </c>
      <c r="I10" s="16">
        <v>598.13</v>
      </c>
      <c r="J10" s="17">
        <v>92.25</v>
      </c>
      <c r="K10" s="17">
        <v>0</v>
      </c>
      <c r="L10" s="18">
        <v>0</v>
      </c>
      <c r="M10" s="19">
        <f t="shared" si="0"/>
        <v>690.38</v>
      </c>
    </row>
    <row r="11" spans="1:13" x14ac:dyDescent="0.25">
      <c r="A11" s="12" t="s">
        <v>93</v>
      </c>
      <c r="B11" s="12" t="s">
        <v>31</v>
      </c>
      <c r="C11" s="13" t="s">
        <v>13</v>
      </c>
      <c r="D11" s="14">
        <v>40842</v>
      </c>
      <c r="E11" s="15" t="s">
        <v>18</v>
      </c>
      <c r="F11" s="11" t="s">
        <v>24</v>
      </c>
      <c r="G11" s="10">
        <v>4</v>
      </c>
      <c r="H11" s="10" t="s">
        <v>25</v>
      </c>
      <c r="I11" s="16">
        <v>598.13</v>
      </c>
      <c r="J11" s="17">
        <v>148.19999999999999</v>
      </c>
      <c r="K11" s="17">
        <v>0</v>
      </c>
      <c r="L11" s="18">
        <v>0</v>
      </c>
      <c r="M11" s="19">
        <f t="shared" si="0"/>
        <v>746.32999999999993</v>
      </c>
    </row>
    <row r="12" spans="1:13" x14ac:dyDescent="0.25">
      <c r="A12" s="12" t="s">
        <v>94</v>
      </c>
      <c r="B12" s="12" t="s">
        <v>32</v>
      </c>
      <c r="C12" s="13" t="s">
        <v>21</v>
      </c>
      <c r="D12" s="14">
        <v>40827</v>
      </c>
      <c r="E12" s="15" t="s">
        <v>18</v>
      </c>
      <c r="F12" s="11" t="s">
        <v>24</v>
      </c>
      <c r="G12" s="10">
        <v>4</v>
      </c>
      <c r="H12" s="10" t="s">
        <v>25</v>
      </c>
      <c r="I12" s="16">
        <v>598.13</v>
      </c>
      <c r="J12" s="17">
        <v>148.21</v>
      </c>
      <c r="K12" s="17">
        <v>0</v>
      </c>
      <c r="L12" s="18">
        <v>0</v>
      </c>
      <c r="M12" s="19">
        <f t="shared" si="0"/>
        <v>746.34</v>
      </c>
    </row>
    <row r="13" spans="1:13" x14ac:dyDescent="0.25">
      <c r="A13" s="12" t="s">
        <v>95</v>
      </c>
      <c r="B13" s="12" t="s">
        <v>33</v>
      </c>
      <c r="C13" s="13" t="s">
        <v>21</v>
      </c>
      <c r="D13" s="14">
        <v>40895</v>
      </c>
      <c r="E13" s="15" t="s">
        <v>22</v>
      </c>
      <c r="F13" s="11" t="s">
        <v>24</v>
      </c>
      <c r="G13" s="10">
        <v>4</v>
      </c>
      <c r="H13" s="10" t="s">
        <v>25</v>
      </c>
      <c r="I13" s="16">
        <v>598.13</v>
      </c>
      <c r="J13" s="17">
        <v>148.22</v>
      </c>
      <c r="K13" s="17">
        <v>0</v>
      </c>
      <c r="L13" s="18">
        <v>0</v>
      </c>
      <c r="M13" s="19">
        <f t="shared" si="0"/>
        <v>746.35</v>
      </c>
    </row>
    <row r="14" spans="1:13" x14ac:dyDescent="0.25">
      <c r="A14" s="12" t="s">
        <v>96</v>
      </c>
      <c r="B14" s="12" t="s">
        <v>23</v>
      </c>
      <c r="C14" s="13" t="s">
        <v>13</v>
      </c>
      <c r="D14" s="14">
        <v>41085</v>
      </c>
      <c r="E14" s="15" t="s">
        <v>22</v>
      </c>
      <c r="F14" s="11" t="s">
        <v>24</v>
      </c>
      <c r="G14" s="10">
        <v>4</v>
      </c>
      <c r="H14" s="10" t="s">
        <v>25</v>
      </c>
      <c r="I14" s="16">
        <v>598.13</v>
      </c>
      <c r="J14" s="17">
        <v>92.25</v>
      </c>
      <c r="K14" s="17">
        <v>0</v>
      </c>
      <c r="L14" s="18">
        <v>450.8</v>
      </c>
      <c r="M14" s="19">
        <f t="shared" si="0"/>
        <v>1141.18</v>
      </c>
    </row>
    <row r="15" spans="1:13" x14ac:dyDescent="0.25">
      <c r="A15" s="12" t="s">
        <v>97</v>
      </c>
      <c r="B15" s="12" t="s">
        <v>34</v>
      </c>
      <c r="C15" s="13" t="s">
        <v>13</v>
      </c>
      <c r="D15" s="14">
        <v>37384</v>
      </c>
      <c r="E15" s="15" t="s">
        <v>22</v>
      </c>
      <c r="F15" s="11" t="s">
        <v>24</v>
      </c>
      <c r="G15" s="10">
        <v>4</v>
      </c>
      <c r="H15" s="10" t="s">
        <v>25</v>
      </c>
      <c r="I15" s="16">
        <v>598.13</v>
      </c>
      <c r="J15" s="17">
        <v>148.22</v>
      </c>
      <c r="K15" s="17">
        <v>0</v>
      </c>
      <c r="L15" s="18">
        <v>450.8</v>
      </c>
      <c r="M15" s="19">
        <f t="shared" si="0"/>
        <v>1197.1500000000001</v>
      </c>
    </row>
    <row r="16" spans="1:13" x14ac:dyDescent="0.25">
      <c r="A16" s="12" t="s">
        <v>98</v>
      </c>
      <c r="B16" s="12" t="s">
        <v>35</v>
      </c>
      <c r="C16" s="13" t="s">
        <v>13</v>
      </c>
      <c r="D16" s="14">
        <v>40750</v>
      </c>
      <c r="E16" s="15" t="s">
        <v>22</v>
      </c>
      <c r="F16" s="11" t="s">
        <v>24</v>
      </c>
      <c r="G16" s="10">
        <v>4</v>
      </c>
      <c r="H16" s="10" t="s">
        <v>25</v>
      </c>
      <c r="I16" s="16">
        <v>598.13</v>
      </c>
      <c r="J16" s="17">
        <v>92.25</v>
      </c>
      <c r="K16" s="17">
        <v>0</v>
      </c>
      <c r="L16" s="18">
        <v>0</v>
      </c>
      <c r="M16" s="19">
        <f t="shared" si="0"/>
        <v>690.38</v>
      </c>
    </row>
    <row r="17" spans="1:13" x14ac:dyDescent="0.25">
      <c r="A17" s="12" t="s">
        <v>99</v>
      </c>
      <c r="B17" s="12" t="s">
        <v>36</v>
      </c>
      <c r="C17" s="13" t="s">
        <v>13</v>
      </c>
      <c r="D17" s="14">
        <v>40986</v>
      </c>
      <c r="E17" s="15" t="s">
        <v>14</v>
      </c>
      <c r="F17" s="11" t="s">
        <v>24</v>
      </c>
      <c r="G17" s="10">
        <v>4</v>
      </c>
      <c r="H17" s="10" t="s">
        <v>25</v>
      </c>
      <c r="I17" s="16">
        <v>598.13</v>
      </c>
      <c r="J17" s="17">
        <v>148.22</v>
      </c>
      <c r="K17" s="17">
        <v>0</v>
      </c>
      <c r="L17" s="18">
        <v>450.8</v>
      </c>
      <c r="M17" s="19">
        <f t="shared" si="0"/>
        <v>1197.1500000000001</v>
      </c>
    </row>
    <row r="18" spans="1:13" x14ac:dyDescent="0.25">
      <c r="A18" s="12" t="s">
        <v>100</v>
      </c>
      <c r="B18" s="12" t="s">
        <v>37</v>
      </c>
      <c r="C18" s="13" t="s">
        <v>21</v>
      </c>
      <c r="D18" s="14">
        <v>39347</v>
      </c>
      <c r="E18" s="15" t="s">
        <v>18</v>
      </c>
      <c r="F18" s="11" t="s">
        <v>24</v>
      </c>
      <c r="G18" s="10">
        <v>4</v>
      </c>
      <c r="H18" s="10" t="s">
        <v>25</v>
      </c>
      <c r="I18" s="16">
        <v>598.13</v>
      </c>
      <c r="J18" s="17">
        <v>148.22</v>
      </c>
      <c r="K18" s="17">
        <v>0</v>
      </c>
      <c r="L18" s="18">
        <v>450.8</v>
      </c>
      <c r="M18" s="19">
        <f t="shared" si="0"/>
        <v>1197.1500000000001</v>
      </c>
    </row>
    <row r="19" spans="1:13" x14ac:dyDescent="0.25">
      <c r="A19" s="12" t="s">
        <v>101</v>
      </c>
      <c r="B19" s="12" t="s">
        <v>35</v>
      </c>
      <c r="C19" s="13" t="s">
        <v>13</v>
      </c>
      <c r="D19" s="14">
        <v>37942</v>
      </c>
      <c r="E19" s="15" t="s">
        <v>22</v>
      </c>
      <c r="F19" s="11" t="s">
        <v>24</v>
      </c>
      <c r="G19" s="10">
        <v>4</v>
      </c>
      <c r="H19" s="10" t="s">
        <v>25</v>
      </c>
      <c r="I19" s="16">
        <v>598.13</v>
      </c>
      <c r="J19" s="17">
        <v>148.22</v>
      </c>
      <c r="K19" s="17">
        <v>0</v>
      </c>
      <c r="L19" s="18">
        <v>450.8</v>
      </c>
      <c r="M19" s="19">
        <f t="shared" si="0"/>
        <v>1197.1500000000001</v>
      </c>
    </row>
    <row r="20" spans="1:13" x14ac:dyDescent="0.25">
      <c r="A20" s="12" t="s">
        <v>102</v>
      </c>
      <c r="B20" s="12" t="s">
        <v>38</v>
      </c>
      <c r="C20" s="13" t="s">
        <v>13</v>
      </c>
      <c r="D20" s="14">
        <v>40836</v>
      </c>
      <c r="E20" s="15" t="s">
        <v>18</v>
      </c>
      <c r="F20" s="11" t="s">
        <v>39</v>
      </c>
      <c r="G20" s="10">
        <v>11</v>
      </c>
      <c r="H20" s="10" t="s">
        <v>40</v>
      </c>
      <c r="I20" s="16">
        <v>806.55</v>
      </c>
      <c r="J20" s="17">
        <v>214.86</v>
      </c>
      <c r="K20" s="17">
        <v>0</v>
      </c>
      <c r="L20" s="18">
        <v>450.8</v>
      </c>
      <c r="M20" s="19">
        <f t="shared" si="0"/>
        <v>1472.21</v>
      </c>
    </row>
    <row r="21" spans="1:13" x14ac:dyDescent="0.25">
      <c r="A21" s="12" t="s">
        <v>103</v>
      </c>
      <c r="B21" s="12" t="s">
        <v>41</v>
      </c>
      <c r="C21" s="13" t="s">
        <v>13</v>
      </c>
      <c r="D21" s="14">
        <v>39541</v>
      </c>
      <c r="E21" s="15" t="s">
        <v>22</v>
      </c>
      <c r="F21" s="11" t="s">
        <v>39</v>
      </c>
      <c r="G21" s="10">
        <v>11</v>
      </c>
      <c r="H21" s="10" t="s">
        <v>40</v>
      </c>
      <c r="I21" s="16">
        <v>806.55</v>
      </c>
      <c r="J21" s="17">
        <v>214.86</v>
      </c>
      <c r="K21" s="17">
        <v>0</v>
      </c>
      <c r="L21" s="18">
        <v>450.8</v>
      </c>
      <c r="M21" s="19">
        <f t="shared" si="0"/>
        <v>1472.21</v>
      </c>
    </row>
    <row r="22" spans="1:13" x14ac:dyDescent="0.25">
      <c r="A22" s="12" t="s">
        <v>104</v>
      </c>
      <c r="B22" s="12" t="s">
        <v>42</v>
      </c>
      <c r="C22" s="13" t="s">
        <v>13</v>
      </c>
      <c r="D22" s="14">
        <v>37328</v>
      </c>
      <c r="E22" s="15" t="s">
        <v>14</v>
      </c>
      <c r="F22" s="11" t="s">
        <v>43</v>
      </c>
      <c r="G22" s="10">
        <v>6</v>
      </c>
      <c r="H22" s="2" t="s">
        <v>25</v>
      </c>
      <c r="I22" s="16">
        <v>640.48</v>
      </c>
      <c r="J22" s="17">
        <v>92.25</v>
      </c>
      <c r="K22" s="17">
        <v>0</v>
      </c>
      <c r="L22" s="18">
        <v>450.8</v>
      </c>
      <c r="M22" s="19">
        <f t="shared" si="0"/>
        <v>1183.53</v>
      </c>
    </row>
    <row r="23" spans="1:13" x14ac:dyDescent="0.25">
      <c r="A23" s="12" t="s">
        <v>105</v>
      </c>
      <c r="B23" s="12" t="s">
        <v>44</v>
      </c>
      <c r="C23" s="13" t="s">
        <v>21</v>
      </c>
      <c r="D23" s="14">
        <v>40394</v>
      </c>
      <c r="E23" s="15" t="s">
        <v>18</v>
      </c>
      <c r="F23" s="11" t="s">
        <v>43</v>
      </c>
      <c r="G23" s="10">
        <v>6</v>
      </c>
      <c r="H23" s="2" t="s">
        <v>25</v>
      </c>
      <c r="I23" s="16">
        <v>640.48</v>
      </c>
      <c r="J23" s="17">
        <v>92.25</v>
      </c>
      <c r="K23" s="17">
        <v>0</v>
      </c>
      <c r="L23" s="18">
        <v>450.8</v>
      </c>
      <c r="M23" s="19">
        <f t="shared" si="0"/>
        <v>1183.53</v>
      </c>
    </row>
    <row r="24" spans="1:13" x14ac:dyDescent="0.25">
      <c r="A24" s="12" t="s">
        <v>106</v>
      </c>
      <c r="B24" s="12" t="s">
        <v>19</v>
      </c>
      <c r="C24" s="13" t="s">
        <v>13</v>
      </c>
      <c r="D24" s="14">
        <v>40533</v>
      </c>
      <c r="E24" s="15" t="s">
        <v>22</v>
      </c>
      <c r="F24" s="11" t="s">
        <v>43</v>
      </c>
      <c r="G24" s="10">
        <v>6</v>
      </c>
      <c r="H24" s="2" t="s">
        <v>25</v>
      </c>
      <c r="I24" s="16">
        <v>640.48</v>
      </c>
      <c r="J24" s="17">
        <v>92.25</v>
      </c>
      <c r="K24" s="17">
        <v>0</v>
      </c>
      <c r="L24" s="18">
        <v>450.8</v>
      </c>
      <c r="M24" s="19">
        <f t="shared" si="0"/>
        <v>1183.53</v>
      </c>
    </row>
    <row r="25" spans="1:13" x14ac:dyDescent="0.25">
      <c r="A25" s="12" t="s">
        <v>107</v>
      </c>
      <c r="B25" s="12" t="s">
        <v>45</v>
      </c>
      <c r="C25" s="13" t="s">
        <v>13</v>
      </c>
      <c r="D25" s="14">
        <v>37340</v>
      </c>
      <c r="E25" s="15" t="s">
        <v>14</v>
      </c>
      <c r="F25" s="11" t="s">
        <v>46</v>
      </c>
      <c r="G25" s="10">
        <v>12</v>
      </c>
      <c r="H25" s="2" t="s">
        <v>40</v>
      </c>
      <c r="I25" s="16">
        <v>829.43</v>
      </c>
      <c r="J25" s="17">
        <v>271.95</v>
      </c>
      <c r="K25" s="17">
        <v>74.86</v>
      </c>
      <c r="L25" s="18">
        <v>225.4</v>
      </c>
      <c r="M25" s="19">
        <f t="shared" si="0"/>
        <v>1401.6399999999999</v>
      </c>
    </row>
    <row r="26" spans="1:13" x14ac:dyDescent="0.25">
      <c r="A26" s="12" t="s">
        <v>108</v>
      </c>
      <c r="B26" s="12" t="s">
        <v>47</v>
      </c>
      <c r="C26" s="13" t="s">
        <v>13</v>
      </c>
      <c r="D26" s="14">
        <v>37644</v>
      </c>
      <c r="E26" s="15" t="s">
        <v>14</v>
      </c>
      <c r="F26" s="11" t="s">
        <v>46</v>
      </c>
      <c r="G26" s="10">
        <v>12</v>
      </c>
      <c r="H26" s="2" t="s">
        <v>40</v>
      </c>
      <c r="I26" s="16">
        <v>829.43</v>
      </c>
      <c r="J26" s="17">
        <v>214.86</v>
      </c>
      <c r="K26" s="17">
        <v>101.16</v>
      </c>
      <c r="L26" s="18">
        <v>450.8</v>
      </c>
      <c r="M26" s="19">
        <f t="shared" si="0"/>
        <v>1596.25</v>
      </c>
    </row>
    <row r="27" spans="1:13" x14ac:dyDescent="0.25">
      <c r="A27" s="12" t="s">
        <v>109</v>
      </c>
      <c r="B27" s="12" t="s">
        <v>48</v>
      </c>
      <c r="C27" s="13" t="s">
        <v>21</v>
      </c>
      <c r="D27" s="14">
        <v>37502</v>
      </c>
      <c r="E27" s="15" t="s">
        <v>18</v>
      </c>
      <c r="F27" s="11" t="s">
        <v>46</v>
      </c>
      <c r="G27" s="10">
        <v>12</v>
      </c>
      <c r="H27" s="2" t="s">
        <v>40</v>
      </c>
      <c r="I27" s="16">
        <v>829.43</v>
      </c>
      <c r="J27" s="17">
        <v>271.95</v>
      </c>
      <c r="K27" s="17">
        <v>117.47</v>
      </c>
      <c r="L27" s="18">
        <v>450.8</v>
      </c>
      <c r="M27" s="19">
        <f t="shared" si="0"/>
        <v>1669.6499999999999</v>
      </c>
    </row>
    <row r="28" spans="1:13" x14ac:dyDescent="0.25">
      <c r="A28" s="12" t="s">
        <v>110</v>
      </c>
      <c r="B28" s="12" t="s">
        <v>49</v>
      </c>
      <c r="C28" s="13" t="s">
        <v>21</v>
      </c>
      <c r="D28" s="14">
        <v>38235</v>
      </c>
      <c r="E28" s="15" t="s">
        <v>18</v>
      </c>
      <c r="F28" s="11" t="s">
        <v>46</v>
      </c>
      <c r="G28" s="10">
        <v>12</v>
      </c>
      <c r="H28" s="2" t="s">
        <v>40</v>
      </c>
      <c r="I28" s="16">
        <v>829.43</v>
      </c>
      <c r="J28" s="17">
        <v>214.86</v>
      </c>
      <c r="K28" s="17">
        <v>93.07</v>
      </c>
      <c r="L28" s="18">
        <v>450.8</v>
      </c>
      <c r="M28" s="19">
        <f t="shared" si="0"/>
        <v>1588.1599999999999</v>
      </c>
    </row>
    <row r="29" spans="1:13" x14ac:dyDescent="0.25">
      <c r="A29" s="12" t="s">
        <v>111</v>
      </c>
      <c r="B29" s="12" t="s">
        <v>50</v>
      </c>
      <c r="C29" s="13" t="s">
        <v>13</v>
      </c>
      <c r="D29" s="14">
        <v>38215</v>
      </c>
      <c r="E29" s="15" t="s">
        <v>22</v>
      </c>
      <c r="F29" s="11" t="s">
        <v>46</v>
      </c>
      <c r="G29" s="10">
        <v>12</v>
      </c>
      <c r="H29" s="2" t="s">
        <v>40</v>
      </c>
      <c r="I29" s="16">
        <v>829.43</v>
      </c>
      <c r="J29" s="17">
        <v>214.86</v>
      </c>
      <c r="K29" s="17">
        <v>75.400000000000006</v>
      </c>
      <c r="L29" s="18">
        <v>225.4</v>
      </c>
      <c r="M29" s="19">
        <f t="shared" si="0"/>
        <v>1345.0900000000001</v>
      </c>
    </row>
    <row r="30" spans="1:13" x14ac:dyDescent="0.25">
      <c r="A30" s="12" t="s">
        <v>112</v>
      </c>
      <c r="B30" s="12" t="s">
        <v>51</v>
      </c>
      <c r="C30" s="13" t="s">
        <v>21</v>
      </c>
      <c r="D30" s="14">
        <v>36827</v>
      </c>
      <c r="E30" s="15" t="s">
        <v>22</v>
      </c>
      <c r="F30" s="11" t="s">
        <v>46</v>
      </c>
      <c r="G30" s="10">
        <v>12</v>
      </c>
      <c r="H30" s="2" t="s">
        <v>40</v>
      </c>
      <c r="I30" s="16">
        <v>829.43</v>
      </c>
      <c r="J30" s="17">
        <v>271.95</v>
      </c>
      <c r="K30" s="17">
        <v>121.07</v>
      </c>
      <c r="L30" s="18">
        <v>0</v>
      </c>
      <c r="M30" s="19">
        <f t="shared" si="0"/>
        <v>1222.4499999999998</v>
      </c>
    </row>
    <row r="31" spans="1:13" x14ac:dyDescent="0.25">
      <c r="A31" s="12" t="s">
        <v>113</v>
      </c>
      <c r="B31" s="12" t="s">
        <v>52</v>
      </c>
      <c r="C31" s="13" t="s">
        <v>13</v>
      </c>
      <c r="D31" s="14">
        <v>41617</v>
      </c>
      <c r="E31" s="15" t="s">
        <v>18</v>
      </c>
      <c r="F31" s="11" t="s">
        <v>46</v>
      </c>
      <c r="G31" s="10">
        <v>12</v>
      </c>
      <c r="H31" s="2" t="s">
        <v>40</v>
      </c>
      <c r="I31" s="16">
        <v>829.43</v>
      </c>
      <c r="J31" s="17">
        <v>271.95</v>
      </c>
      <c r="K31" s="17">
        <v>95.4</v>
      </c>
      <c r="L31" s="18">
        <v>450.8</v>
      </c>
      <c r="M31" s="19">
        <f t="shared" si="0"/>
        <v>1647.58</v>
      </c>
    </row>
    <row r="32" spans="1:13" x14ac:dyDescent="0.25">
      <c r="A32" s="12" t="s">
        <v>114</v>
      </c>
      <c r="B32" s="12" t="s">
        <v>53</v>
      </c>
      <c r="C32" s="13" t="s">
        <v>13</v>
      </c>
      <c r="D32" s="14">
        <v>36703</v>
      </c>
      <c r="E32" s="15" t="s">
        <v>22</v>
      </c>
      <c r="F32" s="11" t="s">
        <v>46</v>
      </c>
      <c r="G32" s="10">
        <v>12</v>
      </c>
      <c r="H32" s="2" t="s">
        <v>40</v>
      </c>
      <c r="I32" s="16">
        <v>829.43</v>
      </c>
      <c r="J32" s="17">
        <v>271.95</v>
      </c>
      <c r="K32" s="17">
        <v>74.83</v>
      </c>
      <c r="L32" s="18">
        <v>225.4</v>
      </c>
      <c r="M32" s="19">
        <f t="shared" si="0"/>
        <v>1401.61</v>
      </c>
    </row>
    <row r="33" spans="1:13" x14ac:dyDescent="0.25">
      <c r="A33" s="12" t="s">
        <v>115</v>
      </c>
      <c r="B33" s="12" t="s">
        <v>32</v>
      </c>
      <c r="C33" s="13" t="s">
        <v>21</v>
      </c>
      <c r="D33" s="14">
        <v>39715</v>
      </c>
      <c r="E33" s="15" t="s">
        <v>18</v>
      </c>
      <c r="F33" s="11" t="s">
        <v>54</v>
      </c>
      <c r="G33" s="10">
        <v>15</v>
      </c>
      <c r="H33" s="2" t="s">
        <v>40</v>
      </c>
      <c r="I33" s="16">
        <v>891.26</v>
      </c>
      <c r="J33" s="17">
        <v>450.75</v>
      </c>
      <c r="K33" s="17">
        <v>161.99</v>
      </c>
      <c r="L33" s="18">
        <v>0</v>
      </c>
      <c r="M33" s="19">
        <f t="shared" si="0"/>
        <v>1504</v>
      </c>
    </row>
    <row r="34" spans="1:13" x14ac:dyDescent="0.25">
      <c r="A34" s="12" t="s">
        <v>116</v>
      </c>
      <c r="B34" s="12" t="s">
        <v>55</v>
      </c>
      <c r="C34" s="13" t="s">
        <v>13</v>
      </c>
      <c r="D34" s="14">
        <v>37688</v>
      </c>
      <c r="E34" s="15" t="s">
        <v>18</v>
      </c>
      <c r="F34" s="11" t="s">
        <v>54</v>
      </c>
      <c r="G34" s="10">
        <v>15</v>
      </c>
      <c r="H34" s="2" t="s">
        <v>40</v>
      </c>
      <c r="I34" s="16">
        <v>891.26</v>
      </c>
      <c r="J34" s="17">
        <v>450.75</v>
      </c>
      <c r="K34" s="17">
        <v>214.23</v>
      </c>
      <c r="L34" s="18">
        <v>450.8</v>
      </c>
      <c r="M34" s="19">
        <f t="shared" si="0"/>
        <v>2007.04</v>
      </c>
    </row>
    <row r="35" spans="1:13" x14ac:dyDescent="0.25">
      <c r="A35" s="12" t="s">
        <v>117</v>
      </c>
      <c r="B35" s="12" t="s">
        <v>56</v>
      </c>
      <c r="C35" s="13" t="s">
        <v>21</v>
      </c>
      <c r="D35" s="14">
        <v>40439</v>
      </c>
      <c r="E35" s="15" t="s">
        <v>22</v>
      </c>
      <c r="F35" s="11" t="s">
        <v>54</v>
      </c>
      <c r="G35" s="10">
        <v>15</v>
      </c>
      <c r="H35" s="2" t="s">
        <v>40</v>
      </c>
      <c r="I35" s="16">
        <v>891.26</v>
      </c>
      <c r="J35" s="17">
        <v>450.75</v>
      </c>
      <c r="K35" s="17">
        <v>231.26</v>
      </c>
      <c r="L35" s="18">
        <v>450.8</v>
      </c>
      <c r="M35" s="19">
        <f t="shared" si="0"/>
        <v>2024.07</v>
      </c>
    </row>
    <row r="36" spans="1:13" x14ac:dyDescent="0.25">
      <c r="A36" s="12" t="s">
        <v>118</v>
      </c>
      <c r="B36" s="12" t="s">
        <v>52</v>
      </c>
      <c r="C36" s="13" t="s">
        <v>13</v>
      </c>
      <c r="D36" s="14">
        <v>40104</v>
      </c>
      <c r="E36" s="15" t="s">
        <v>14</v>
      </c>
      <c r="F36" s="11" t="s">
        <v>54</v>
      </c>
      <c r="G36" s="10">
        <v>15</v>
      </c>
      <c r="H36" s="2" t="s">
        <v>40</v>
      </c>
      <c r="I36" s="16">
        <v>891.26</v>
      </c>
      <c r="J36" s="17">
        <v>450.75</v>
      </c>
      <c r="K36" s="17">
        <v>231.21</v>
      </c>
      <c r="L36" s="18">
        <v>0</v>
      </c>
      <c r="M36" s="19">
        <f t="shared" si="0"/>
        <v>1573.22</v>
      </c>
    </row>
    <row r="37" spans="1:13" x14ac:dyDescent="0.25">
      <c r="A37" s="12" t="s">
        <v>119</v>
      </c>
      <c r="B37" s="12" t="s">
        <v>57</v>
      </c>
      <c r="C37" s="13" t="s">
        <v>21</v>
      </c>
      <c r="D37" s="14">
        <v>38852</v>
      </c>
      <c r="E37" s="15" t="s">
        <v>18</v>
      </c>
      <c r="F37" s="11" t="s">
        <v>58</v>
      </c>
      <c r="G37" s="10">
        <v>9</v>
      </c>
      <c r="H37" s="2" t="s">
        <v>16</v>
      </c>
      <c r="I37" s="16">
        <v>717.74</v>
      </c>
      <c r="J37" s="17">
        <v>146.34</v>
      </c>
      <c r="K37" s="17">
        <v>0</v>
      </c>
      <c r="L37" s="18">
        <v>450.8</v>
      </c>
      <c r="M37" s="19">
        <f t="shared" si="0"/>
        <v>1314.88</v>
      </c>
    </row>
    <row r="38" spans="1:13" x14ac:dyDescent="0.25">
      <c r="A38" s="12" t="s">
        <v>120</v>
      </c>
      <c r="B38" s="12" t="s">
        <v>59</v>
      </c>
      <c r="C38" s="13" t="s">
        <v>13</v>
      </c>
      <c r="D38" s="14">
        <v>40426</v>
      </c>
      <c r="E38" s="15" t="s">
        <v>14</v>
      </c>
      <c r="F38" s="11" t="s">
        <v>58</v>
      </c>
      <c r="G38" s="10">
        <v>9</v>
      </c>
      <c r="H38" s="2" t="s">
        <v>16</v>
      </c>
      <c r="I38" s="16">
        <v>717.74</v>
      </c>
      <c r="J38" s="17">
        <v>146.34</v>
      </c>
      <c r="K38" s="17">
        <v>0</v>
      </c>
      <c r="L38" s="18">
        <v>225.4</v>
      </c>
      <c r="M38" s="19">
        <f t="shared" si="0"/>
        <v>1089.48</v>
      </c>
    </row>
    <row r="39" spans="1:13" x14ac:dyDescent="0.25">
      <c r="A39" s="12" t="s">
        <v>121</v>
      </c>
      <c r="B39" s="12" t="s">
        <v>48</v>
      </c>
      <c r="C39" s="13" t="s">
        <v>21</v>
      </c>
      <c r="D39" s="14">
        <v>36531</v>
      </c>
      <c r="E39" s="15" t="s">
        <v>22</v>
      </c>
      <c r="F39" s="11" t="s">
        <v>58</v>
      </c>
      <c r="G39" s="10">
        <v>9</v>
      </c>
      <c r="H39" s="2" t="s">
        <v>16</v>
      </c>
      <c r="I39" s="16">
        <v>717.74</v>
      </c>
      <c r="J39" s="17">
        <v>146.34</v>
      </c>
      <c r="K39" s="17">
        <v>0</v>
      </c>
      <c r="L39" s="18">
        <v>0</v>
      </c>
      <c r="M39" s="19">
        <f t="shared" si="0"/>
        <v>864.08</v>
      </c>
    </row>
    <row r="40" spans="1:13" x14ac:dyDescent="0.25">
      <c r="A40" s="12" t="s">
        <v>122</v>
      </c>
      <c r="B40" s="12" t="s">
        <v>60</v>
      </c>
      <c r="C40" s="13" t="s">
        <v>21</v>
      </c>
      <c r="D40" s="14">
        <v>41218</v>
      </c>
      <c r="E40" s="15" t="s">
        <v>18</v>
      </c>
      <c r="F40" s="11" t="s">
        <v>58</v>
      </c>
      <c r="G40" s="10">
        <v>9</v>
      </c>
      <c r="H40" s="2" t="s">
        <v>16</v>
      </c>
      <c r="I40" s="16">
        <v>717.74</v>
      </c>
      <c r="J40" s="17">
        <v>146.34</v>
      </c>
      <c r="K40" s="17">
        <v>0</v>
      </c>
      <c r="L40" s="18">
        <v>450.8</v>
      </c>
      <c r="M40" s="19">
        <f t="shared" si="0"/>
        <v>1314.88</v>
      </c>
    </row>
    <row r="41" spans="1:13" x14ac:dyDescent="0.25">
      <c r="A41" s="12" t="s">
        <v>123</v>
      </c>
      <c r="B41" s="12" t="s">
        <v>61</v>
      </c>
      <c r="C41" s="13" t="s">
        <v>21</v>
      </c>
      <c r="D41" s="14">
        <v>39626</v>
      </c>
      <c r="E41" s="15" t="s">
        <v>14</v>
      </c>
      <c r="F41" s="11" t="s">
        <v>58</v>
      </c>
      <c r="G41" s="10">
        <v>9</v>
      </c>
      <c r="H41" s="2" t="s">
        <v>16</v>
      </c>
      <c r="I41" s="16">
        <v>717.74</v>
      </c>
      <c r="J41" s="17">
        <v>146.34</v>
      </c>
      <c r="K41" s="17">
        <v>0</v>
      </c>
      <c r="L41" s="18">
        <v>225.4</v>
      </c>
      <c r="M41" s="19">
        <f t="shared" si="0"/>
        <v>1089.48</v>
      </c>
    </row>
    <row r="42" spans="1:13" x14ac:dyDescent="0.25">
      <c r="A42" s="12" t="s">
        <v>124</v>
      </c>
      <c r="B42" s="12" t="s">
        <v>62</v>
      </c>
      <c r="C42" s="13" t="s">
        <v>13</v>
      </c>
      <c r="D42" s="14">
        <v>38978</v>
      </c>
      <c r="E42" s="15" t="s">
        <v>22</v>
      </c>
      <c r="F42" s="11" t="s">
        <v>58</v>
      </c>
      <c r="G42" s="10">
        <v>9</v>
      </c>
      <c r="H42" s="2" t="s">
        <v>16</v>
      </c>
      <c r="I42" s="16">
        <v>717.74</v>
      </c>
      <c r="J42" s="17">
        <v>146.34</v>
      </c>
      <c r="K42" s="17">
        <v>0</v>
      </c>
      <c r="L42" s="18">
        <v>450.8</v>
      </c>
      <c r="M42" s="19">
        <f t="shared" si="0"/>
        <v>1314.88</v>
      </c>
    </row>
    <row r="43" spans="1:13" x14ac:dyDescent="0.25">
      <c r="A43" s="12" t="s">
        <v>125</v>
      </c>
      <c r="B43" s="12" t="s">
        <v>61</v>
      </c>
      <c r="C43" s="13" t="s">
        <v>21</v>
      </c>
      <c r="D43" s="14">
        <v>36686</v>
      </c>
      <c r="E43" s="15" t="s">
        <v>18</v>
      </c>
      <c r="F43" s="11" t="s">
        <v>63</v>
      </c>
      <c r="G43" s="10">
        <v>2</v>
      </c>
      <c r="H43" s="2" t="s">
        <v>64</v>
      </c>
      <c r="I43" s="16">
        <v>581.5</v>
      </c>
      <c r="J43" s="17">
        <v>53.79</v>
      </c>
      <c r="K43" s="17">
        <v>0</v>
      </c>
      <c r="L43" s="18">
        <v>225.4</v>
      </c>
      <c r="M43" s="19">
        <f t="shared" si="0"/>
        <v>860.68999999999994</v>
      </c>
    </row>
    <row r="44" spans="1:13" x14ac:dyDescent="0.25">
      <c r="A44" s="12" t="s">
        <v>126</v>
      </c>
      <c r="B44" s="12" t="s">
        <v>65</v>
      </c>
      <c r="C44" s="13" t="s">
        <v>13</v>
      </c>
      <c r="D44" s="14">
        <v>40071</v>
      </c>
      <c r="E44" s="15" t="s">
        <v>22</v>
      </c>
      <c r="F44" s="11" t="s">
        <v>63</v>
      </c>
      <c r="G44" s="10">
        <v>2</v>
      </c>
      <c r="H44" s="2" t="s">
        <v>64</v>
      </c>
      <c r="I44" s="16">
        <v>581.5</v>
      </c>
      <c r="J44" s="17">
        <v>53.79</v>
      </c>
      <c r="K44" s="17">
        <v>0</v>
      </c>
      <c r="L44" s="18">
        <v>0</v>
      </c>
      <c r="M44" s="19">
        <f t="shared" si="0"/>
        <v>635.29</v>
      </c>
    </row>
    <row r="45" spans="1:13" x14ac:dyDescent="0.25">
      <c r="A45" s="12" t="s">
        <v>127</v>
      </c>
      <c r="B45" s="12" t="s">
        <v>66</v>
      </c>
      <c r="C45" s="13" t="s">
        <v>13</v>
      </c>
      <c r="D45" s="14">
        <v>36917</v>
      </c>
      <c r="E45" s="15" t="s">
        <v>14</v>
      </c>
      <c r="F45" s="11" t="s">
        <v>63</v>
      </c>
      <c r="G45" s="10">
        <v>2</v>
      </c>
      <c r="H45" s="2" t="s">
        <v>64</v>
      </c>
      <c r="I45" s="16">
        <v>581.5</v>
      </c>
      <c r="J45" s="17">
        <v>53.79</v>
      </c>
      <c r="K45" s="17">
        <v>0</v>
      </c>
      <c r="L45" s="18">
        <v>0</v>
      </c>
      <c r="M45" s="19">
        <f t="shared" si="0"/>
        <v>635.29</v>
      </c>
    </row>
    <row r="46" spans="1:13" x14ac:dyDescent="0.25">
      <c r="A46" s="12" t="s">
        <v>116</v>
      </c>
      <c r="B46" s="12" t="s">
        <v>67</v>
      </c>
      <c r="C46" s="13" t="s">
        <v>21</v>
      </c>
      <c r="D46" s="14">
        <v>40185</v>
      </c>
      <c r="E46" s="15" t="s">
        <v>18</v>
      </c>
      <c r="F46" s="11" t="s">
        <v>63</v>
      </c>
      <c r="G46" s="10">
        <v>2</v>
      </c>
      <c r="H46" s="2" t="s">
        <v>64</v>
      </c>
      <c r="I46" s="16">
        <v>581.5</v>
      </c>
      <c r="J46" s="17">
        <v>53.79</v>
      </c>
      <c r="K46" s="17">
        <v>0</v>
      </c>
      <c r="L46" s="18">
        <v>450.8</v>
      </c>
      <c r="M46" s="19">
        <f t="shared" si="0"/>
        <v>1086.0899999999999</v>
      </c>
    </row>
    <row r="47" spans="1:13" x14ac:dyDescent="0.25">
      <c r="A47" s="12" t="s">
        <v>128</v>
      </c>
      <c r="B47" s="12" t="s">
        <v>68</v>
      </c>
      <c r="C47" s="13" t="s">
        <v>13</v>
      </c>
      <c r="D47" s="14">
        <v>38651</v>
      </c>
      <c r="E47" s="15" t="s">
        <v>22</v>
      </c>
      <c r="F47" s="11" t="s">
        <v>63</v>
      </c>
      <c r="G47" s="10">
        <v>2</v>
      </c>
      <c r="H47" s="2" t="s">
        <v>64</v>
      </c>
      <c r="I47" s="16">
        <v>581.5</v>
      </c>
      <c r="J47" s="17">
        <v>53.79</v>
      </c>
      <c r="K47" s="17">
        <v>0</v>
      </c>
      <c r="L47" s="18">
        <v>450.8</v>
      </c>
      <c r="M47" s="19">
        <f t="shared" si="0"/>
        <v>1086.0899999999999</v>
      </c>
    </row>
    <row r="48" spans="1:13" x14ac:dyDescent="0.25">
      <c r="A48" s="12" t="s">
        <v>129</v>
      </c>
      <c r="B48" s="12" t="s">
        <v>41</v>
      </c>
      <c r="C48" s="13" t="s">
        <v>13</v>
      </c>
      <c r="D48" s="14">
        <v>40795</v>
      </c>
      <c r="E48" s="15" t="s">
        <v>14</v>
      </c>
      <c r="F48" s="11" t="s">
        <v>69</v>
      </c>
      <c r="G48" s="10">
        <v>1</v>
      </c>
      <c r="H48" s="2" t="s">
        <v>64</v>
      </c>
      <c r="I48" s="16">
        <v>563.82000000000005</v>
      </c>
      <c r="J48" s="17">
        <v>87.14</v>
      </c>
      <c r="K48" s="17">
        <v>0</v>
      </c>
      <c r="L48" s="18">
        <v>450.8</v>
      </c>
      <c r="M48" s="19">
        <f t="shared" si="0"/>
        <v>1101.76</v>
      </c>
    </row>
    <row r="49" spans="1:13" x14ac:dyDescent="0.25">
      <c r="A49" s="12" t="s">
        <v>130</v>
      </c>
      <c r="B49" s="12" t="s">
        <v>70</v>
      </c>
      <c r="C49" s="13" t="s">
        <v>13</v>
      </c>
      <c r="D49" s="14">
        <v>38276</v>
      </c>
      <c r="E49" s="15" t="s">
        <v>18</v>
      </c>
      <c r="F49" s="11" t="s">
        <v>69</v>
      </c>
      <c r="G49" s="10">
        <v>1</v>
      </c>
      <c r="H49" s="2" t="s">
        <v>64</v>
      </c>
      <c r="I49" s="16">
        <v>563.82000000000005</v>
      </c>
      <c r="J49" s="17">
        <v>87.14</v>
      </c>
      <c r="K49" s="17">
        <v>0</v>
      </c>
      <c r="L49" s="18">
        <v>450.8</v>
      </c>
      <c r="M49" s="19">
        <f t="shared" si="0"/>
        <v>1101.76</v>
      </c>
    </row>
    <row r="50" spans="1:13" x14ac:dyDescent="0.25">
      <c r="A50" s="12" t="s">
        <v>131</v>
      </c>
      <c r="B50" s="12" t="s">
        <v>71</v>
      </c>
      <c r="C50" s="13" t="s">
        <v>21</v>
      </c>
      <c r="D50" s="14">
        <v>40473</v>
      </c>
      <c r="E50" s="15" t="s">
        <v>22</v>
      </c>
      <c r="F50" s="11" t="s">
        <v>69</v>
      </c>
      <c r="G50" s="10">
        <v>1</v>
      </c>
      <c r="H50" s="2" t="s">
        <v>64</v>
      </c>
      <c r="I50" s="16">
        <v>563.82000000000005</v>
      </c>
      <c r="J50" s="17">
        <v>146.04</v>
      </c>
      <c r="K50" s="17">
        <v>0</v>
      </c>
      <c r="L50" s="18">
        <v>450.8</v>
      </c>
      <c r="M50" s="19">
        <f t="shared" si="0"/>
        <v>1160.6600000000001</v>
      </c>
    </row>
    <row r="51" spans="1:13" x14ac:dyDescent="0.25">
      <c r="A51" s="12" t="s">
        <v>132</v>
      </c>
      <c r="B51" s="12" t="s">
        <v>72</v>
      </c>
      <c r="C51" s="13" t="s">
        <v>13</v>
      </c>
      <c r="D51" s="14">
        <v>39852</v>
      </c>
      <c r="E51" s="15" t="s">
        <v>18</v>
      </c>
      <c r="F51" s="11" t="s">
        <v>69</v>
      </c>
      <c r="G51" s="10">
        <v>1</v>
      </c>
      <c r="H51" s="2" t="s">
        <v>64</v>
      </c>
      <c r="I51" s="16">
        <v>563.82000000000005</v>
      </c>
      <c r="J51" s="17">
        <v>146.04</v>
      </c>
      <c r="K51" s="17">
        <v>0</v>
      </c>
      <c r="L51" s="18">
        <v>0</v>
      </c>
      <c r="M51" s="19">
        <f t="shared" si="0"/>
        <v>709.86</v>
      </c>
    </row>
    <row r="52" spans="1:13" x14ac:dyDescent="0.25">
      <c r="A52" s="12" t="s">
        <v>133</v>
      </c>
      <c r="B52" s="12" t="s">
        <v>73</v>
      </c>
      <c r="C52" s="13" t="s">
        <v>21</v>
      </c>
      <c r="D52" s="14">
        <v>39912</v>
      </c>
      <c r="E52" s="15" t="s">
        <v>18</v>
      </c>
      <c r="F52" s="11" t="s">
        <v>74</v>
      </c>
      <c r="G52" s="10">
        <v>16</v>
      </c>
      <c r="H52" s="2" t="s">
        <v>75</v>
      </c>
      <c r="I52" s="16">
        <v>949.4</v>
      </c>
      <c r="J52" s="17">
        <v>459.89</v>
      </c>
      <c r="K52" s="17">
        <v>272.07</v>
      </c>
      <c r="L52" s="18">
        <v>450.8</v>
      </c>
      <c r="M52" s="19">
        <f t="shared" si="0"/>
        <v>2132.16</v>
      </c>
    </row>
    <row r="53" spans="1:13" x14ac:dyDescent="0.25">
      <c r="A53" s="12" t="s">
        <v>134</v>
      </c>
      <c r="B53" s="12" t="s">
        <v>76</v>
      </c>
      <c r="C53" s="13" t="s">
        <v>13</v>
      </c>
      <c r="D53" s="14">
        <v>37054</v>
      </c>
      <c r="E53" s="15" t="s">
        <v>22</v>
      </c>
      <c r="F53" s="11" t="s">
        <v>74</v>
      </c>
      <c r="G53" s="10">
        <v>16</v>
      </c>
      <c r="H53" s="10" t="s">
        <v>75</v>
      </c>
      <c r="I53" s="16">
        <v>949.4</v>
      </c>
      <c r="J53" s="17">
        <v>354.59</v>
      </c>
      <c r="K53" s="17">
        <v>264.36</v>
      </c>
      <c r="L53" s="18">
        <v>450.8</v>
      </c>
      <c r="M53" s="19">
        <f t="shared" si="0"/>
        <v>2019.1499999999999</v>
      </c>
    </row>
    <row r="54" spans="1:13" x14ac:dyDescent="0.25">
      <c r="A54" s="12" t="s">
        <v>135</v>
      </c>
      <c r="B54" s="12" t="s">
        <v>52</v>
      </c>
      <c r="C54" s="13" t="s">
        <v>13</v>
      </c>
      <c r="D54" s="14">
        <v>39944</v>
      </c>
      <c r="E54" s="15" t="s">
        <v>14</v>
      </c>
      <c r="F54" s="11" t="s">
        <v>74</v>
      </c>
      <c r="G54" s="10">
        <v>16</v>
      </c>
      <c r="H54" s="10" t="s">
        <v>75</v>
      </c>
      <c r="I54" s="16">
        <v>949.4</v>
      </c>
      <c r="J54" s="17">
        <v>354.59</v>
      </c>
      <c r="K54" s="17">
        <v>239.51</v>
      </c>
      <c r="L54" s="18">
        <v>0</v>
      </c>
      <c r="M54" s="19">
        <f t="shared" si="0"/>
        <v>1543.5</v>
      </c>
    </row>
    <row r="55" spans="1:13" x14ac:dyDescent="0.25">
      <c r="A55" s="12" t="s">
        <v>136</v>
      </c>
      <c r="B55" s="12" t="s">
        <v>77</v>
      </c>
      <c r="C55" s="13" t="s">
        <v>13</v>
      </c>
      <c r="D55" s="14">
        <v>39796</v>
      </c>
      <c r="E55" s="15" t="s">
        <v>18</v>
      </c>
      <c r="F55" s="11" t="s">
        <v>74</v>
      </c>
      <c r="G55" s="10">
        <v>16</v>
      </c>
      <c r="H55" s="10" t="s">
        <v>75</v>
      </c>
      <c r="I55" s="16">
        <v>949.4</v>
      </c>
      <c r="J55" s="17">
        <v>459.89</v>
      </c>
      <c r="K55" s="17">
        <v>231.15</v>
      </c>
      <c r="L55" s="18">
        <v>450.8</v>
      </c>
      <c r="M55" s="19">
        <f t="shared" si="0"/>
        <v>2091.2400000000002</v>
      </c>
    </row>
    <row r="56" spans="1:13" x14ac:dyDescent="0.25">
      <c r="A56" s="12" t="s">
        <v>137</v>
      </c>
      <c r="B56" s="12" t="s">
        <v>78</v>
      </c>
      <c r="C56" s="13" t="s">
        <v>21</v>
      </c>
      <c r="D56" s="14">
        <v>36795</v>
      </c>
      <c r="E56" s="15" t="s">
        <v>22</v>
      </c>
      <c r="F56" s="11" t="s">
        <v>74</v>
      </c>
      <c r="G56" s="10">
        <v>16</v>
      </c>
      <c r="H56" s="10" t="s">
        <v>75</v>
      </c>
      <c r="I56" s="16">
        <v>949.4</v>
      </c>
      <c r="J56" s="17">
        <v>354.59</v>
      </c>
      <c r="K56" s="17">
        <v>298.02</v>
      </c>
      <c r="L56" s="18">
        <v>225.4</v>
      </c>
      <c r="M56" s="19">
        <f t="shared" si="0"/>
        <v>1827.41</v>
      </c>
    </row>
    <row r="57" spans="1:13" x14ac:dyDescent="0.25">
      <c r="A57" s="12" t="s">
        <v>138</v>
      </c>
      <c r="B57" s="12" t="s">
        <v>79</v>
      </c>
      <c r="C57" s="13" t="s">
        <v>13</v>
      </c>
      <c r="D57" s="14">
        <v>40833</v>
      </c>
      <c r="E57" s="15" t="s">
        <v>14</v>
      </c>
      <c r="F57" s="11" t="s">
        <v>74</v>
      </c>
      <c r="G57" s="10">
        <v>16</v>
      </c>
      <c r="H57" s="10" t="s">
        <v>75</v>
      </c>
      <c r="I57" s="16">
        <v>949.4</v>
      </c>
      <c r="J57" s="17">
        <v>459.89</v>
      </c>
      <c r="K57" s="17">
        <v>287.83999999999997</v>
      </c>
      <c r="L57" s="18">
        <v>225.4</v>
      </c>
      <c r="M57" s="19">
        <f t="shared" si="0"/>
        <v>1922.53</v>
      </c>
    </row>
    <row r="58" spans="1:13" x14ac:dyDescent="0.25">
      <c r="A58" s="12" t="s">
        <v>139</v>
      </c>
      <c r="B58" s="12" t="s">
        <v>80</v>
      </c>
      <c r="C58" s="13" t="s">
        <v>21</v>
      </c>
      <c r="D58" s="14">
        <v>38921</v>
      </c>
      <c r="E58" s="15" t="s">
        <v>18</v>
      </c>
      <c r="F58" s="11" t="s">
        <v>81</v>
      </c>
      <c r="G58" s="10">
        <v>17</v>
      </c>
      <c r="H58" s="2" t="s">
        <v>82</v>
      </c>
      <c r="I58" s="16">
        <v>1068.07</v>
      </c>
      <c r="J58" s="17">
        <v>514.58000000000004</v>
      </c>
      <c r="K58" s="17">
        <v>411.52</v>
      </c>
      <c r="L58" s="18">
        <v>225.4</v>
      </c>
      <c r="M58" s="19">
        <f t="shared" si="0"/>
        <v>2219.5700000000002</v>
      </c>
    </row>
    <row r="59" spans="1:13" x14ac:dyDescent="0.25">
      <c r="A59" s="12" t="s">
        <v>140</v>
      </c>
      <c r="B59" s="12" t="s">
        <v>83</v>
      </c>
      <c r="C59" s="13" t="s">
        <v>21</v>
      </c>
      <c r="D59" s="14">
        <v>41007</v>
      </c>
      <c r="E59" s="15" t="s">
        <v>22</v>
      </c>
      <c r="F59" s="11" t="s">
        <v>81</v>
      </c>
      <c r="G59" s="10">
        <v>17</v>
      </c>
      <c r="H59" s="2" t="s">
        <v>82</v>
      </c>
      <c r="I59" s="16">
        <v>1068.07</v>
      </c>
      <c r="J59" s="17">
        <v>514.58000000000004</v>
      </c>
      <c r="K59" s="17">
        <v>345.05</v>
      </c>
      <c r="L59" s="18">
        <v>450.8</v>
      </c>
      <c r="M59" s="19">
        <f t="shared" si="0"/>
        <v>2378.5</v>
      </c>
    </row>
    <row r="60" spans="1:13" x14ac:dyDescent="0.25">
      <c r="L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 RECURSOS HUMANOS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Guzzo</dc:creator>
  <cp:lastModifiedBy>Jorge Guzzo</cp:lastModifiedBy>
  <dcterms:created xsi:type="dcterms:W3CDTF">2025-08-07T13:27:51Z</dcterms:created>
  <dcterms:modified xsi:type="dcterms:W3CDTF">2025-08-07T13:46:45Z</dcterms:modified>
</cp:coreProperties>
</file>